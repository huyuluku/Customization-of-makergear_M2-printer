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ArchMaterLab\Lab Resources\Makergear M2 Pneumatic Control System [M2PCS]\Makergear Assembly Fall 2021\Quotes\"/>
    </mc:Choice>
  </mc:AlternateContent>
  <xr:revisionPtr revIDLastSave="0" documentId="13_ncr:1_{F19B3930-9061-471F-91A5-AA7796FC8F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definedNames>
    <definedName name="Ground">'Table 1'!$H$20:$J$20</definedName>
    <definedName name="Ground__Next_Day__Two_Day__The_Day">'Table 1'!$C$20</definedName>
    <definedName name="Next_Day">'Table 1'!$D$20</definedName>
    <definedName name="_xlnm.Print_Area" localSheetId="0">'Table 1'!$A$1:$F$38</definedName>
    <definedName name="Shipping" comment="Ground">'Table 1'!$C$20</definedName>
    <definedName name="Three_Day">'Table 1'!$F$20</definedName>
    <definedName name="Two_Day">'Table 1'!$E$20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32" i="1" l="1"/>
  <c r="F30" i="1"/>
  <c r="F29" i="1"/>
  <c r="F28" i="1"/>
  <c r="F24" i="1"/>
  <c r="F26" i="1"/>
  <c r="F25" i="1"/>
  <c r="F23" i="1"/>
  <c r="F27" i="1"/>
  <c r="F33" i="1" l="1"/>
</calcChain>
</file>

<file path=xl/sharedStrings.xml><?xml version="1.0" encoding="utf-8"?>
<sst xmlns="http://schemas.openxmlformats.org/spreadsheetml/2006/main" count="43" uniqueCount="42">
  <si>
    <t>Vendor Phone number</t>
  </si>
  <si>
    <t>Name</t>
  </si>
  <si>
    <t>Phone number</t>
  </si>
  <si>
    <t>Email address</t>
  </si>
  <si>
    <t>Date</t>
  </si>
  <si>
    <t>Delivery address</t>
  </si>
  <si>
    <t>Vendor information</t>
  </si>
  <si>
    <t>Vendor name</t>
  </si>
  <si>
    <t>Vendor website</t>
  </si>
  <si>
    <t>Shipping</t>
  </si>
  <si>
    <t>Special Shipping requests</t>
  </si>
  <si>
    <t>Product information</t>
  </si>
  <si>
    <t>Quant.</t>
  </si>
  <si>
    <t>Cat. or model no.</t>
  </si>
  <si>
    <t>Vendor description and product selection notes</t>
  </si>
  <si>
    <t>Link to product webpage</t>
  </si>
  <si>
    <t>Unit cost</t>
  </si>
  <si>
    <t>Total cost</t>
  </si>
  <si>
    <t>Requestor Information</t>
  </si>
  <si>
    <t>Penn Engineering Financial Services (PEFS)</t>
  </si>
  <si>
    <t>PURCHASE ORDER REQUEST FORM</t>
  </si>
  <si>
    <t xml:space="preserve">PI Approval </t>
  </si>
  <si>
    <t>Included in Email</t>
  </si>
  <si>
    <t>(Please complete as much  information as possible and submit as an Excel worksheet)</t>
  </si>
  <si>
    <t>Notes/Special instruction</t>
  </si>
  <si>
    <t>Account(s) to charge</t>
  </si>
  <si>
    <r>
      <t xml:space="preserve">Send Completed form to </t>
    </r>
    <r>
      <rPr>
        <sz val="10"/>
        <color theme="3"/>
        <rFont val="Times New Roman"/>
        <family val="1"/>
      </rPr>
      <t>Purchasing@seas.upenn.edu</t>
    </r>
  </si>
  <si>
    <t>(Only blue &amp; tan highlighted cells can be changed)</t>
  </si>
  <si>
    <t>Included in PI approval email</t>
  </si>
  <si>
    <t>3231 Walnut Street</t>
  </si>
  <si>
    <t>Rm 415</t>
  </si>
  <si>
    <t>Ground</t>
  </si>
  <si>
    <t>athaque@seas.upenn.edu</t>
  </si>
  <si>
    <t>A B M Tahidul Haque</t>
  </si>
  <si>
    <t>716-866-4918</t>
  </si>
  <si>
    <t>Philadelphia, PA 19104</t>
  </si>
  <si>
    <t>PennAir</t>
  </si>
  <si>
    <t>https://pennair.com/</t>
  </si>
  <si>
    <t>R11-RK-77-G</t>
  </si>
  <si>
    <t>Pneumadyne - Regulator</t>
  </si>
  <si>
    <t>717-840-8100</t>
  </si>
  <si>
    <t>Quote QT0041409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</si>
</sst>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;@"/>
  </numFmts>
  <fonts count="21">
    <font>
      <sz val="10"/>
      <color rgb="FF000000"/>
      <name val="Times New Roman"/>
      <charset val="204"/>
    </font>
    <font>
      <b/>
      <sz val="12"/>
      <name val="Times New Roman"/>
      <family val="1"/>
    </font>
    <font>
      <b/>
      <sz val="8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1"/>
    </font>
    <font>
      <sz val="8"/>
      <color rgb="FF000000"/>
      <name val="Times New Roman"/>
      <family val="2"/>
    </font>
    <font>
      <b/>
      <sz val="8"/>
      <name val="Times New Roman"/>
      <family val="2"/>
    </font>
    <font>
      <b/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sz val="8"/>
      <name val="Times New Roman"/>
      <family val="1"/>
    </font>
    <font>
      <sz val="8"/>
      <color rgb="FF000000"/>
      <name val="Times New Roman"/>
      <family val="1"/>
    </font>
    <font>
      <u/>
      <sz val="10"/>
      <color theme="10"/>
      <name val="Times New Roman"/>
      <family val="1"/>
    </font>
    <font>
      <sz val="10"/>
      <color rgb="FFFF0000"/>
      <name val="Times New Roman"/>
      <family val="1"/>
    </font>
    <font>
      <sz val="10"/>
      <color theme="3"/>
      <name val="Times New Roman"/>
      <family val="1"/>
    </font>
    <font>
      <u/>
      <sz val="10"/>
      <color theme="10"/>
      <name val="Times New Roman"/>
      <family val="1"/>
      <charset val="20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69">
    <xf numFmtId="0" fontId="0" fillId="0" borderId="0" xfId="0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 applyProtection="1">
      <alignment horizontal="center" vertical="top"/>
    </xf>
    <xf numFmtId="0" fontId="3" fillId="0" borderId="0" xfId="0" applyFont="1" applyFill="1" applyBorder="1" applyAlignment="1" applyProtection="1">
      <alignment horizontal="left" vertical="top"/>
    </xf>
    <xf numFmtId="0" fontId="9" fillId="0" borderId="0" xfId="0" applyFont="1" applyFill="1" applyBorder="1" applyAlignment="1" applyProtection="1">
      <alignment horizontal="left" vertical="top"/>
    </xf>
    <xf numFmtId="0" fontId="0" fillId="0" borderId="0" xfId="0" applyFill="1" applyBorder="1" applyAlignment="1" applyProtection="1">
      <alignment horizontal="left" vertical="top"/>
    </xf>
    <xf numFmtId="0" fontId="6" fillId="3" borderId="1" xfId="0" applyFont="1" applyFill="1" applyBorder="1" applyAlignment="1" applyProtection="1">
      <alignment horizontal="left" vertical="top" wrapText="1"/>
    </xf>
    <xf numFmtId="44" fontId="11" fillId="0" borderId="1" xfId="1" applyFont="1" applyFill="1" applyBorder="1" applyAlignment="1" applyProtection="1">
      <alignment horizontal="left" vertical="center" wrapText="1"/>
    </xf>
    <xf numFmtId="44" fontId="8" fillId="0" borderId="1" xfId="1" applyFont="1" applyFill="1" applyBorder="1" applyAlignment="1" applyProtection="1">
      <alignment horizontal="right" vertical="center" wrapText="1"/>
    </xf>
    <xf numFmtId="1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4" borderId="1" xfId="0" applyFont="1" applyFill="1" applyBorder="1" applyAlignment="1" applyProtection="1">
      <alignment horizontal="left" vertical="center" wrapText="1"/>
      <protection locked="0"/>
    </xf>
    <xf numFmtId="0" fontId="11" fillId="4" borderId="2" xfId="0" applyFont="1" applyFill="1" applyBorder="1" applyAlignment="1" applyProtection="1">
      <alignment horizontal="left" vertical="center" wrapText="1"/>
      <protection locked="0"/>
    </xf>
    <xf numFmtId="44" fontId="11" fillId="4" borderId="1" xfId="1" applyFont="1" applyFill="1" applyBorder="1" applyAlignment="1" applyProtection="1">
      <alignment horizontal="left" vertical="center" wrapText="1"/>
      <protection locked="0"/>
    </xf>
    <xf numFmtId="0" fontId="11" fillId="4" borderId="2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 applyProtection="1">
      <alignment horizontal="center" vertical="top"/>
    </xf>
    <xf numFmtId="0" fontId="6" fillId="0" borderId="0" xfId="0" applyFont="1" applyFill="1" applyBorder="1" applyAlignment="1" applyProtection="1">
      <alignment horizontal="left" vertical="top"/>
    </xf>
    <xf numFmtId="0" fontId="15" fillId="0" borderId="0" xfId="0" applyFont="1" applyFill="1" applyBorder="1" applyAlignment="1">
      <alignment horizontal="left" vertical="top"/>
    </xf>
    <xf numFmtId="0" fontId="15" fillId="0" borderId="8" xfId="0" applyFont="1" applyFill="1" applyBorder="1" applyAlignment="1" applyProtection="1">
      <alignment horizontal="left" vertical="top"/>
    </xf>
    <xf numFmtId="0" fontId="15" fillId="0" borderId="0" xfId="0" applyFont="1" applyFill="1" applyBorder="1" applyAlignment="1" applyProtection="1">
      <alignment horizontal="left" vertical="top"/>
    </xf>
    <xf numFmtId="0" fontId="14" fillId="0" borderId="5" xfId="0" applyFont="1" applyFill="1" applyBorder="1" applyAlignment="1" applyProtection="1">
      <alignment horizontal="left" vertical="top" wrapText="1"/>
    </xf>
    <xf numFmtId="0" fontId="14" fillId="0" borderId="6" xfId="0" applyFont="1" applyFill="1" applyBorder="1" applyAlignment="1" applyProtection="1">
      <alignment horizontal="left" vertical="top" wrapText="1"/>
    </xf>
    <xf numFmtId="0" fontId="15" fillId="0" borderId="0" xfId="0" applyFont="1" applyFill="1" applyBorder="1" applyAlignment="1">
      <alignment horizontal="left" vertical="center"/>
    </xf>
    <xf numFmtId="0" fontId="14" fillId="5" borderId="9" xfId="0" applyFont="1" applyFill="1" applyBorder="1" applyAlignment="1" applyProtection="1">
      <alignment vertical="center" wrapText="1"/>
      <protection locked="0"/>
    </xf>
    <xf numFmtId="0" fontId="17" fillId="0" borderId="0" xfId="0" applyFont="1" applyFill="1" applyBorder="1" applyAlignment="1">
      <alignment horizontal="left" vertical="top"/>
    </xf>
    <xf numFmtId="0" fontId="14" fillId="4" borderId="10" xfId="0" applyFont="1" applyFill="1" applyBorder="1" applyAlignment="1" applyProtection="1">
      <alignment vertical="center" wrapText="1"/>
      <protection locked="0"/>
    </xf>
    <xf numFmtId="0" fontId="9" fillId="0" borderId="7" xfId="0" applyFont="1" applyFill="1" applyBorder="1" applyAlignment="1" applyProtection="1">
      <alignment horizontal="left" vertical="top"/>
    </xf>
    <xf numFmtId="0" fontId="14" fillId="0" borderId="7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vertical="center" wrapText="1"/>
    </xf>
    <xf numFmtId="164" fontId="15" fillId="0" borderId="7" xfId="0" applyNumberFormat="1" applyFont="1" applyFill="1" applyBorder="1" applyAlignment="1" applyProtection="1">
      <alignment vertical="center" wrapText="1"/>
    </xf>
    <xf numFmtId="164" fontId="15" fillId="0" borderId="0" xfId="0" applyNumberFormat="1" applyFont="1" applyFill="1" applyBorder="1" applyAlignment="1" applyProtection="1">
      <alignment vertical="center" wrapText="1"/>
    </xf>
    <xf numFmtId="0" fontId="15" fillId="0" borderId="7" xfId="0" applyFont="1" applyFill="1" applyBorder="1" applyAlignment="1" applyProtection="1">
      <alignment vertical="center" wrapText="1"/>
    </xf>
    <xf numFmtId="0" fontId="15" fillId="0" borderId="0" xfId="0" applyFont="1" applyFill="1" applyBorder="1" applyAlignment="1" applyProtection="1">
      <alignment vertical="center" wrapText="1"/>
    </xf>
    <xf numFmtId="0" fontId="14" fillId="0" borderId="7" xfId="0" applyFont="1" applyFill="1" applyBorder="1" applyAlignment="1" applyProtection="1">
      <alignment vertical="top" wrapText="1"/>
    </xf>
    <xf numFmtId="0" fontId="14" fillId="0" borderId="0" xfId="0" applyFont="1" applyFill="1" applyBorder="1" applyAlignment="1" applyProtection="1">
      <alignment vertical="top" wrapText="1"/>
    </xf>
    <xf numFmtId="0" fontId="14" fillId="4" borderId="2" xfId="0" applyFont="1" applyFill="1" applyBorder="1" applyAlignment="1" applyProtection="1">
      <alignment horizontal="left" vertical="top" wrapText="1"/>
      <protection locked="0"/>
    </xf>
    <xf numFmtId="0" fontId="14" fillId="4" borderId="4" xfId="0" applyFont="1" applyFill="1" applyBorder="1" applyAlignment="1" applyProtection="1">
      <alignment horizontal="left" vertical="top" wrapText="1"/>
      <protection locked="0"/>
    </xf>
    <xf numFmtId="0" fontId="14" fillId="5" borderId="2" xfId="0" applyFont="1" applyFill="1" applyBorder="1" applyAlignment="1" applyProtection="1">
      <alignment horizontal="left" vertical="top" wrapText="1"/>
      <protection locked="0"/>
    </xf>
    <xf numFmtId="0" fontId="14" fillId="5" borderId="4" xfId="0" applyFont="1" applyFill="1" applyBorder="1" applyAlignment="1" applyProtection="1">
      <alignment horizontal="left" vertical="top" wrapText="1"/>
      <protection locked="0"/>
    </xf>
    <xf numFmtId="0" fontId="14" fillId="5" borderId="10" xfId="0" applyFont="1" applyFill="1" applyBorder="1" applyAlignment="1" applyProtection="1">
      <alignment horizontal="left" vertical="center" wrapText="1"/>
      <protection locked="0"/>
    </xf>
    <xf numFmtId="0" fontId="14" fillId="5" borderId="12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Fill="1" applyBorder="1" applyAlignment="1" applyProtection="1">
      <alignment horizontal="center" vertical="top" wrapText="1"/>
    </xf>
    <xf numFmtId="0" fontId="12" fillId="0" borderId="0" xfId="0" applyFont="1" applyFill="1" applyBorder="1" applyAlignment="1" applyProtection="1">
      <alignment horizontal="center" vertical="top"/>
    </xf>
    <xf numFmtId="0" fontId="14" fillId="4" borderId="10" xfId="0" applyFont="1" applyFill="1" applyBorder="1" applyAlignment="1" applyProtection="1">
      <alignment horizontal="left" vertical="center" wrapText="1"/>
      <protection locked="0"/>
    </xf>
    <xf numFmtId="0" fontId="14" fillId="4" borderId="12" xfId="0" applyFont="1" applyFill="1" applyBorder="1" applyAlignment="1" applyProtection="1">
      <alignment horizontal="left" vertical="center" wrapText="1"/>
      <protection locked="0"/>
    </xf>
    <xf numFmtId="0" fontId="19" fillId="4" borderId="10" xfId="2" applyFont="1" applyFill="1" applyBorder="1" applyAlignment="1" applyProtection="1">
      <alignment horizontal="left" vertical="center" wrapText="1"/>
      <protection locked="0"/>
    </xf>
    <xf numFmtId="0" fontId="16" fillId="4" borderId="12" xfId="2" applyFill="1" applyBorder="1" applyAlignment="1" applyProtection="1">
      <alignment horizontal="left" vertical="center" wrapText="1"/>
      <protection locked="0"/>
    </xf>
    <xf numFmtId="164" fontId="15" fillId="4" borderId="10" xfId="0" applyNumberFormat="1" applyFont="1" applyFill="1" applyBorder="1" applyAlignment="1" applyProtection="1">
      <alignment horizontal="left" vertical="center" wrapText="1"/>
      <protection locked="0"/>
    </xf>
    <xf numFmtId="164" fontId="15" fillId="4" borderId="12" xfId="0" applyNumberFormat="1" applyFont="1" applyFill="1" applyBorder="1" applyAlignment="1" applyProtection="1">
      <alignment horizontal="left" vertical="center" wrapText="1"/>
      <protection locked="0"/>
    </xf>
    <xf numFmtId="0" fontId="15" fillId="4" borderId="10" xfId="0" applyFont="1" applyFill="1" applyBorder="1" applyAlignment="1" applyProtection="1">
      <alignment horizontal="left" vertical="center" wrapText="1"/>
      <protection locked="0"/>
    </xf>
    <xf numFmtId="0" fontId="15" fillId="4" borderId="11" xfId="0" applyFont="1" applyFill="1" applyBorder="1" applyAlignment="1" applyProtection="1">
      <alignment horizontal="left" vertical="center" wrapText="1"/>
      <protection locked="0"/>
    </xf>
    <xf numFmtId="0" fontId="16" fillId="4" borderId="2" xfId="2" applyFill="1" applyBorder="1" applyAlignment="1" applyProtection="1">
      <alignment horizontal="left" vertical="top" wrapText="1"/>
      <protection locked="0"/>
    </xf>
    <xf numFmtId="0" fontId="16" fillId="4" borderId="4" xfId="2" applyFill="1" applyBorder="1" applyAlignment="1" applyProtection="1">
      <alignment horizontal="left" vertical="top" wrapText="1"/>
      <protection locked="0"/>
    </xf>
    <xf numFmtId="0" fontId="13" fillId="0" borderId="9" xfId="0" applyFont="1" applyFill="1" applyBorder="1" applyAlignment="1">
      <alignment horizontal="center" vertical="top" wrapText="1"/>
    </xf>
    <xf numFmtId="0" fontId="0" fillId="4" borderId="9" xfId="0" applyFill="1" applyBorder="1" applyAlignment="1" applyProtection="1">
      <alignment horizontal="center" vertical="top"/>
      <protection locked="0"/>
    </xf>
    <xf numFmtId="0" fontId="3" fillId="0" borderId="0" xfId="0" applyFont="1" applyFill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 vertical="top"/>
    </xf>
    <xf numFmtId="0" fontId="4" fillId="0" borderId="0" xfId="0" applyFont="1" applyFill="1" applyBorder="1" applyAlignment="1" applyProtection="1">
      <alignment horizontal="center" vertical="top"/>
    </xf>
    <xf numFmtId="0" fontId="2" fillId="0" borderId="0" xfId="0" applyFont="1" applyFill="1" applyBorder="1" applyAlignment="1" applyProtection="1">
      <alignment horizontal="center" vertical="top"/>
    </xf>
    <xf numFmtId="0" fontId="7" fillId="2" borderId="2" xfId="0" applyFont="1" applyFill="1" applyBorder="1" applyAlignment="1" applyProtection="1">
      <alignment horizontal="right" vertical="center" wrapText="1"/>
    </xf>
    <xf numFmtId="0" fontId="7" fillId="2" borderId="4" xfId="0" applyFont="1" applyFill="1" applyBorder="1" applyAlignment="1" applyProtection="1">
      <alignment horizontal="right" vertical="center" wrapText="1"/>
    </xf>
    <xf numFmtId="0" fontId="7" fillId="2" borderId="3" xfId="0" applyFont="1" applyFill="1" applyBorder="1" applyAlignment="1" applyProtection="1">
      <alignment horizontal="right" vertical="center" wrapText="1"/>
    </xf>
    <xf numFmtId="0" fontId="14" fillId="0" borderId="2" xfId="0" applyFont="1" applyFill="1" applyBorder="1" applyAlignment="1" applyProtection="1">
      <alignment horizontal="left" vertical="center" wrapText="1"/>
    </xf>
    <xf numFmtId="0" fontId="14" fillId="0" borderId="4" xfId="0" applyFont="1" applyFill="1" applyBorder="1" applyAlignment="1" applyProtection="1">
      <alignment horizontal="left" vertical="center" wrapText="1"/>
    </xf>
    <xf numFmtId="0" fontId="14" fillId="0" borderId="2" xfId="0" applyFont="1" applyFill="1" applyBorder="1" applyAlignment="1" applyProtection="1">
      <alignment horizontal="left" vertical="top" wrapText="1"/>
    </xf>
    <xf numFmtId="0" fontId="14" fillId="0" borderId="3" xfId="0" applyFont="1" applyFill="1" applyBorder="1" applyAlignment="1" applyProtection="1">
      <alignment horizontal="left" vertical="top" wrapText="1"/>
    </xf>
    <xf numFmtId="0" fontId="14" fillId="0" borderId="4" xfId="0" applyFont="1" applyFill="1" applyBorder="1" applyAlignment="1" applyProtection="1">
      <alignment horizontal="left" vertical="top" wrapText="1"/>
    </xf>
    <xf numFmtId="0" fontId="14" fillId="0" borderId="7" xfId="0" applyFont="1" applyFill="1" applyBorder="1" applyAlignment="1" applyProtection="1">
      <alignment horizontal="left" vertical="top" wrapText="1"/>
    </xf>
    <xf numFmtId="0" fontId="14" fillId="0" borderId="0" xfId="0" applyFont="1" applyFill="1" applyBorder="1" applyAlignment="1" applyProtection="1">
      <alignment horizontal="left" vertical="top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yone@seas.upen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7"/>
  <sheetViews>
    <sheetView tabSelected="1" zoomScale="132" zoomScaleNormal="130" workbookViewId="0">
      <selection activeCell="D26" sqref="D26"/>
    </sheetView>
  </sheetViews>
  <sheetFormatPr defaultColWidth="9" defaultRowHeight="13.2"/>
  <cols>
    <col min="1" max="1" width="6.77734375" customWidth="1"/>
    <col min="2" max="2" width="17.21875" customWidth="1"/>
    <col min="3" max="3" width="28" customWidth="1"/>
    <col min="4" max="4" width="54.44140625" customWidth="1"/>
    <col min="5" max="5" width="13.77734375" bestFit="1" customWidth="1"/>
    <col min="6" max="6" width="23.5546875" customWidth="1"/>
  </cols>
  <sheetData>
    <row r="1" spans="1:6" ht="15.6">
      <c r="A1" s="55" t="s">
        <v>19</v>
      </c>
      <c r="B1" s="56"/>
      <c r="C1" s="56"/>
      <c r="D1" s="56"/>
      <c r="E1" s="56"/>
      <c r="F1" s="56"/>
    </row>
    <row r="2" spans="1:6">
      <c r="A2" s="57" t="s">
        <v>20</v>
      </c>
      <c r="B2" s="58"/>
      <c r="C2" s="58"/>
      <c r="D2" s="58"/>
      <c r="E2" s="58"/>
      <c r="F2" s="58"/>
    </row>
    <row r="3" spans="1:6" ht="12.75" customHeight="1">
      <c r="A3" s="15"/>
      <c r="B3" s="3"/>
      <c r="C3" s="41" t="s">
        <v>27</v>
      </c>
      <c r="D3" s="41"/>
      <c r="E3" s="41"/>
      <c r="F3" s="3"/>
    </row>
    <row r="4" spans="1:6">
      <c r="A4" s="3"/>
      <c r="B4" s="3"/>
      <c r="C4" s="42" t="s">
        <v>23</v>
      </c>
      <c r="D4" s="42"/>
      <c r="E4" s="42"/>
      <c r="F4" s="3"/>
    </row>
    <row r="5" spans="1:6" s="2" customFormat="1">
      <c r="A5" s="16" t="s">
        <v>18</v>
      </c>
      <c r="B5" s="5"/>
      <c r="C5" s="5"/>
      <c r="D5" s="5"/>
      <c r="E5" s="5"/>
      <c r="F5" s="5"/>
    </row>
    <row r="6" spans="1:6" s="17" customFormat="1" ht="10.199999999999999">
      <c r="A6" s="64" t="s">
        <v>1</v>
      </c>
      <c r="B6" s="66"/>
      <c r="C6" s="43" t="s">
        <v>33</v>
      </c>
      <c r="D6" s="44"/>
      <c r="E6" s="27"/>
      <c r="F6" s="28"/>
    </row>
    <row r="7" spans="1:6" s="17" customFormat="1" ht="10.199999999999999">
      <c r="A7" s="64" t="s">
        <v>2</v>
      </c>
      <c r="B7" s="66"/>
      <c r="C7" s="43" t="s">
        <v>34</v>
      </c>
      <c r="D7" s="44"/>
      <c r="E7" s="27"/>
      <c r="F7" s="28"/>
    </row>
    <row r="8" spans="1:6" s="17" customFormat="1" ht="11.25" customHeight="1">
      <c r="A8" s="64" t="s">
        <v>3</v>
      </c>
      <c r="B8" s="66"/>
      <c r="C8" s="45" t="s">
        <v>32</v>
      </c>
      <c r="D8" s="46"/>
      <c r="E8" s="27"/>
      <c r="F8" s="28"/>
    </row>
    <row r="9" spans="1:6" s="17" customFormat="1" ht="10.199999999999999">
      <c r="A9" s="64" t="s">
        <v>4</v>
      </c>
      <c r="B9" s="66"/>
      <c r="C9" s="47">
        <v>44480</v>
      </c>
      <c r="D9" s="48"/>
      <c r="E9" s="29"/>
      <c r="F9" s="30"/>
    </row>
    <row r="10" spans="1:6" s="17" customFormat="1" ht="10.199999999999999">
      <c r="A10" s="18"/>
      <c r="B10" s="19"/>
      <c r="C10" s="49" t="s">
        <v>29</v>
      </c>
      <c r="D10" s="50"/>
      <c r="E10" s="31"/>
      <c r="F10" s="32"/>
    </row>
    <row r="11" spans="1:6" s="17" customFormat="1" ht="10.199999999999999">
      <c r="A11" s="67" t="s">
        <v>5</v>
      </c>
      <c r="B11" s="68"/>
      <c r="C11" s="49" t="s">
        <v>30</v>
      </c>
      <c r="D11" s="50"/>
      <c r="E11" s="31"/>
      <c r="F11" s="32"/>
    </row>
    <row r="12" spans="1:6" s="17" customFormat="1" ht="10.199999999999999">
      <c r="A12" s="20"/>
      <c r="B12" s="21"/>
      <c r="C12" s="49" t="s">
        <v>35</v>
      </c>
      <c r="D12" s="50"/>
      <c r="E12" s="31"/>
      <c r="F12" s="32"/>
    </row>
    <row r="13" spans="1:6" s="17" customFormat="1" ht="12.75" customHeight="1">
      <c r="A13" s="64" t="s">
        <v>25</v>
      </c>
      <c r="B13" s="66"/>
      <c r="C13" s="23" t="s">
        <v>28</v>
      </c>
      <c r="D13" s="25"/>
      <c r="E13" s="27"/>
      <c r="F13" s="28"/>
    </row>
    <row r="14" spans="1:6" s="22" customFormat="1" ht="10.199999999999999">
      <c r="A14" s="62" t="s">
        <v>21</v>
      </c>
      <c r="B14" s="63"/>
      <c r="C14" s="39" t="s">
        <v>22</v>
      </c>
      <c r="D14" s="40"/>
      <c r="E14" s="27"/>
      <c r="F14" s="28"/>
    </row>
    <row r="15" spans="1:6" s="2" customFormat="1">
      <c r="A15" s="16" t="s">
        <v>6</v>
      </c>
      <c r="B15" s="5"/>
      <c r="C15" s="5"/>
      <c r="D15" s="5"/>
      <c r="E15" s="26"/>
      <c r="F15" s="5"/>
    </row>
    <row r="16" spans="1:6" s="17" customFormat="1" ht="10.199999999999999">
      <c r="A16" s="64" t="s">
        <v>7</v>
      </c>
      <c r="B16" s="65"/>
      <c r="C16" s="35" t="s">
        <v>36</v>
      </c>
      <c r="D16" s="36"/>
      <c r="E16" s="33"/>
      <c r="F16" s="34"/>
    </row>
    <row r="17" spans="1:10" s="17" customFormat="1" ht="11.25" customHeight="1">
      <c r="A17" s="64" t="s">
        <v>8</v>
      </c>
      <c r="B17" s="65"/>
      <c r="C17" s="51" t="s">
        <v>37</v>
      </c>
      <c r="D17" s="52"/>
      <c r="E17" s="33"/>
      <c r="F17" s="34"/>
    </row>
    <row r="18" spans="1:10" s="17" customFormat="1" ht="10.199999999999999">
      <c r="A18" s="64" t="s">
        <v>0</v>
      </c>
      <c r="B18" s="65"/>
      <c r="C18" s="35" t="s">
        <v>40</v>
      </c>
      <c r="D18" s="36"/>
      <c r="E18" s="33"/>
      <c r="F18" s="34"/>
    </row>
    <row r="19" spans="1:10" s="2" customFormat="1">
      <c r="A19" s="16" t="s">
        <v>9</v>
      </c>
      <c r="B19" s="5"/>
      <c r="C19" s="5"/>
      <c r="D19" s="5"/>
      <c r="E19" s="5"/>
      <c r="F19" s="5"/>
    </row>
    <row r="20" spans="1:10">
      <c r="A20" s="64" t="s">
        <v>10</v>
      </c>
      <c r="B20" s="65"/>
      <c r="C20" s="37" t="s">
        <v>31</v>
      </c>
      <c r="D20" s="38"/>
      <c r="E20" s="33"/>
      <c r="F20" s="34"/>
      <c r="G20" s="2"/>
      <c r="H20" s="2"/>
      <c r="I20" s="2"/>
      <c r="J20" s="2"/>
    </row>
    <row r="21" spans="1:10" ht="15.6">
      <c r="A21" s="4" t="s">
        <v>11</v>
      </c>
      <c r="B21" s="6"/>
      <c r="C21" s="6"/>
      <c r="D21" s="6"/>
      <c r="E21" s="6"/>
      <c r="F21" s="6"/>
    </row>
    <row r="22" spans="1:10" ht="26.4">
      <c r="A22" s="7" t="s">
        <v>12</v>
      </c>
      <c r="B22" s="7" t="s">
        <v>13</v>
      </c>
      <c r="C22" s="7" t="s">
        <v>14</v>
      </c>
      <c r="D22" s="7" t="s">
        <v>15</v>
      </c>
      <c r="E22" s="7" t="s">
        <v>16</v>
      </c>
      <c r="F22" s="7" t="s">
        <v>17</v>
      </c>
    </row>
    <row r="23" spans="1:10" s="1" customFormat="1" ht="21.75" customHeight="1">
      <c r="A23" s="10">
        <v>3</v>
      </c>
      <c r="B23" s="11" t="s">
        <v>38</v>
      </c>
      <c r="C23" s="11" t="s">
        <v>39</v>
      </c>
      <c r="D23" s="12" t="s">
        <v>41</v>
      </c>
      <c r="E23" s="13">
        <v>46.22</v>
      </c>
      <c r="F23" s="8">
        <f t="shared" ref="F23:F32" si="0">A23*E23</f>
        <v>138.66</v>
      </c>
    </row>
    <row r="24" spans="1:10" s="1" customFormat="1" ht="21.75" customHeight="1">
      <c r="A24" s="10"/>
      <c r="B24" s="12"/>
      <c r="C24" s="11"/>
      <c r="D24" s="12"/>
      <c r="E24" s="13"/>
      <c r="F24" s="8">
        <f t="shared" si="0"/>
        <v>0</v>
      </c>
    </row>
    <row r="25" spans="1:10" s="1" customFormat="1" ht="21.75" customHeight="1">
      <c r="A25" s="10"/>
      <c r="B25" s="11"/>
      <c r="C25" s="11"/>
      <c r="D25" s="12"/>
      <c r="E25" s="13"/>
      <c r="F25" s="8">
        <f t="shared" si="0"/>
        <v>0</v>
      </c>
    </row>
    <row r="26" spans="1:10" s="1" customFormat="1" ht="21.75" customHeight="1">
      <c r="A26" s="10"/>
      <c r="B26" s="11"/>
      <c r="C26" s="11"/>
      <c r="D26" s="12"/>
      <c r="E26" s="13"/>
      <c r="F26" s="8">
        <f t="shared" si="0"/>
        <v>0</v>
      </c>
    </row>
    <row r="27" spans="1:10" s="1" customFormat="1" ht="21.75" customHeight="1">
      <c r="A27" s="10"/>
      <c r="B27" s="11"/>
      <c r="C27" s="11"/>
      <c r="D27" s="14"/>
      <c r="E27" s="13"/>
      <c r="F27" s="8">
        <f t="shared" si="0"/>
        <v>0</v>
      </c>
    </row>
    <row r="28" spans="1:10" s="1" customFormat="1" ht="21.75" customHeight="1">
      <c r="A28" s="10"/>
      <c r="B28" s="11"/>
      <c r="C28" s="11"/>
      <c r="D28" s="14"/>
      <c r="E28" s="13"/>
      <c r="F28" s="8">
        <f t="shared" si="0"/>
        <v>0</v>
      </c>
    </row>
    <row r="29" spans="1:10" s="1" customFormat="1" ht="21.75" customHeight="1">
      <c r="A29" s="10"/>
      <c r="B29" s="11"/>
      <c r="C29" s="11"/>
      <c r="D29" s="14"/>
      <c r="E29" s="13"/>
      <c r="F29" s="8">
        <f t="shared" si="0"/>
        <v>0</v>
      </c>
    </row>
    <row r="30" spans="1:10" s="1" customFormat="1" ht="21.75" customHeight="1">
      <c r="A30" s="10"/>
      <c r="B30" s="11"/>
      <c r="C30" s="11"/>
      <c r="D30" s="14"/>
      <c r="E30" s="13"/>
      <c r="F30" s="8">
        <f t="shared" si="0"/>
        <v>0</v>
      </c>
    </row>
    <row r="31" spans="1:10" s="1" customFormat="1" ht="21.75" customHeight="1">
      <c r="A31" s="10"/>
      <c r="B31" s="11"/>
      <c r="C31" s="11"/>
      <c r="D31" s="14"/>
      <c r="E31" s="13"/>
      <c r="F31" s="8">
        <f t="shared" ref="F31" si="1">A31*E31</f>
        <v>0</v>
      </c>
    </row>
    <row r="32" spans="1:10" s="1" customFormat="1" ht="21.75" customHeight="1">
      <c r="A32" s="10"/>
      <c r="B32" s="11"/>
      <c r="C32" s="11"/>
      <c r="D32" s="14"/>
      <c r="E32" s="13"/>
      <c r="F32" s="8">
        <f t="shared" si="0"/>
        <v>0</v>
      </c>
    </row>
    <row r="33" spans="1:6">
      <c r="A33" s="59" t="s">
        <v>17</v>
      </c>
      <c r="B33" s="60"/>
      <c r="C33" s="60"/>
      <c r="D33" s="60"/>
      <c r="E33" s="61"/>
      <c r="F33" s="9">
        <f>SUM(F23:F32)</f>
        <v>138.66</v>
      </c>
    </row>
    <row r="35" spans="1:6" ht="38.25" customHeight="1">
      <c r="A35" s="53" t="s">
        <v>24</v>
      </c>
      <c r="B35" s="53"/>
      <c r="C35" s="54"/>
      <c r="D35" s="54"/>
      <c r="E35" s="54"/>
      <c r="F35" s="54"/>
    </row>
    <row r="37" spans="1:6">
      <c r="D37" s="24" t="s">
        <v>26</v>
      </c>
    </row>
  </sheetData>
  <sheetProtection algorithmName="SHA-512" hashValue="n7T/dTn/htxvmd7Gy0VCHISdef6Z335lVOfbGxILW/3F8DXclULUfQb1DBO8RoNMukHLMt2/R/Rk9VZ/QcFERQ==" saltValue="NiOkrhstKsiwRhVqAub9Kw==" spinCount="100000" sheet="1" objects="1" scenarios="1" selectLockedCells="1"/>
  <protectedRanges>
    <protectedRange algorithmName="SHA-512" hashValue="ACgNRYHHhU4zcqI9Hh7G4e7UFKAdXdzOyLdwmTOsenXLo/KkJ8LPmbeWSx4/jzKhPGSZ0IxHM2c1y+kVNR2nuQ==" saltValue="tT0xRYRC7yonMHVk6JfABg==" spinCount="100000" sqref="A15:F15 A1:F5 C19:F19 A21:F22 A33:E33 A6:B14 A16:B20 F23:F33" name="Range1"/>
  </protectedRanges>
  <mergeCells count="30">
    <mergeCell ref="A35:B35"/>
    <mergeCell ref="C35:F35"/>
    <mergeCell ref="A1:F1"/>
    <mergeCell ref="A2:F2"/>
    <mergeCell ref="A33:E33"/>
    <mergeCell ref="A14:B14"/>
    <mergeCell ref="A18:B18"/>
    <mergeCell ref="A16:B16"/>
    <mergeCell ref="A17:B17"/>
    <mergeCell ref="A6:B6"/>
    <mergeCell ref="A7:B7"/>
    <mergeCell ref="A8:B8"/>
    <mergeCell ref="A20:B20"/>
    <mergeCell ref="A9:B9"/>
    <mergeCell ref="A11:B11"/>
    <mergeCell ref="A13:B13"/>
    <mergeCell ref="C18:D18"/>
    <mergeCell ref="C20:D20"/>
    <mergeCell ref="C14:D14"/>
    <mergeCell ref="C3:E3"/>
    <mergeCell ref="C4:E4"/>
    <mergeCell ref="C6:D6"/>
    <mergeCell ref="C7:D7"/>
    <mergeCell ref="C8:D8"/>
    <mergeCell ref="C9:D9"/>
    <mergeCell ref="C10:D10"/>
    <mergeCell ref="C11:D11"/>
    <mergeCell ref="C12:D12"/>
    <mergeCell ref="C16:D16"/>
    <mergeCell ref="C17:D17"/>
  </mergeCells>
  <phoneticPr fontId="20" type="noConversion"/>
  <dataValidations count="3">
    <dataValidation type="list" allowBlank="1" showInputMessage="1" showErrorMessage="1" sqref="C20" xr:uid="{00000000-0002-0000-0000-000000000000}">
      <formula1>"Ground, Next Day, Two Day, Free 2 day Amazon Shipping, Other (See below note/special instructions)"</formula1>
    </dataValidation>
    <dataValidation type="list" allowBlank="1" showInputMessage="1" showErrorMessage="1" sqref="C14" xr:uid="{00000000-0002-0000-0000-000001000000}">
      <formula1>"I am the PI, Included in Email, Not Required - approved to make purchases"</formula1>
    </dataValidation>
    <dataValidation type="list" allowBlank="1" showInputMessage="1" showErrorMessage="1" sqref="C13" xr:uid="{00000000-0002-0000-0000-000002000000}">
      <formula1>"Account Name, Account Number, Included in PI approval email"</formula1>
    </dataValidation>
  </dataValidations>
  <hyperlinks>
    <hyperlink ref="C8" r:id="rId1" display="Anyone@seas.upenn.edu" xr:uid="{00000000-0004-0000-0000-000000000000}"/>
  </hyperlinks>
  <pageMargins left="0.7" right="0.7" top="0.5" bottom="0.5" header="0.3" footer="0.3"/>
  <pageSetup scale="89" orientation="landscape" horizont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Table 1</vt:lpstr>
      <vt:lpstr>Ground</vt:lpstr>
      <vt:lpstr>Ground__Next_Day__Two_Day__The_Day</vt:lpstr>
      <vt:lpstr>Next_Day</vt:lpstr>
      <vt:lpstr>'Table 1'!Print_Area</vt:lpstr>
      <vt:lpstr>Shipping</vt:lpstr>
      <vt:lpstr>Three_Day</vt:lpstr>
      <vt:lpstr>Two_Day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PURCHREQ_20201124_Rinsalt(08)_MEAM445_Glogerm_Mist</dc:title>
  <dc:creator>Saheli Patel</dc:creator>
  <cp:lastModifiedBy>A B M Tahidul Haque</cp:lastModifiedBy>
  <cp:lastPrinted>2021-02-25T21:45:20Z</cp:lastPrinted>
  <dcterms:created xsi:type="dcterms:W3CDTF">2021-02-25T09:54:08Z</dcterms:created>
  <dcterms:modified xsi:type="dcterms:W3CDTF">2021-10-11T13:20:21Z</dcterms:modified>
</cp:coreProperties>
</file>