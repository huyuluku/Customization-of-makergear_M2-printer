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<sst xmlns="http://schemas.openxmlformats.org/spreadsheetml/2006/main" count="93" uniqueCount="68">
  <si>
    <t>Label</t>
  </si>
  <si>
    <t>Item</t>
  </si>
  <si>
    <t>Description</t>
  </si>
  <si>
    <t>Quantity</t>
  </si>
  <si>
    <t>Supplier</t>
  </si>
  <si>
    <t>Buy/Fabricate</t>
  </si>
  <si>
    <t>Unit Price ($)</t>
  </si>
  <si>
    <t>Total Cost ($)</t>
  </si>
  <si>
    <t>Purchased?</t>
  </si>
  <si>
    <t>A1</t>
  </si>
  <si>
    <t>Faceplate</t>
  </si>
  <si>
    <t>Mount for pneumatic syringes</t>
  </si>
  <si>
    <r>
      <rPr/>
      <t xml:space="preserve">Machined by machine shop. Cad file: </t>
    </r>
    <r>
      <rPr>
        <color rgb="FF1155CC"/>
        <u/>
      </rPr>
      <t>https://drive.google.com/file/d/1Nkcx7Vp1uV9MdUEIYcI8VjP--WVc1Mkm/view</t>
    </r>
  </si>
  <si>
    <t>Fabricate</t>
  </si>
  <si>
    <t>A2</t>
  </si>
  <si>
    <t>M3x50 Socket Head Cap Screw</t>
  </si>
  <si>
    <t>Extras should be in spare drawer (Check if we still have these)</t>
  </si>
  <si>
    <t>Buy</t>
  </si>
  <si>
    <t>y</t>
  </si>
  <si>
    <t>A3/A4</t>
  </si>
  <si>
    <t>Upper/Lower Retraction Mounts</t>
  </si>
  <si>
    <t>2 (upper), 2 (lower)</t>
  </si>
  <si>
    <t>Laser cut in shop: CAD found here: Team Drive &gt;&gt; M2PCS &gt;&gt; System CAD Files &gt;&gt; Retraction Laser Cut Files</t>
  </si>
  <si>
    <t>A5</t>
  </si>
  <si>
    <t>Pneumatic Linear Actuator</t>
  </si>
  <si>
    <r>
      <rPr/>
      <t xml:space="preserve">Festo - link: </t>
    </r>
    <r>
      <rPr>
        <color rgb="FF1155CC"/>
        <u/>
      </rPr>
      <t>https://www.coastpneumatics.com/product/4830909/</t>
    </r>
  </si>
  <si>
    <t>Push Fit Adapter</t>
  </si>
  <si>
    <r>
      <rPr/>
      <t xml:space="preserve">Festo - link: </t>
    </r>
    <r>
      <rPr>
        <color rgb="FF1155CC"/>
        <u/>
      </rPr>
      <t>https://www.coastpneumatics.com/product/153304/</t>
    </r>
  </si>
  <si>
    <t xml:space="preserve">Buy </t>
  </si>
  <si>
    <t>A6</t>
  </si>
  <si>
    <t>O-rings</t>
  </si>
  <si>
    <t>Secure syringe to retraction mount</t>
  </si>
  <si>
    <t>N/A - dont need for now</t>
  </si>
  <si>
    <t>A7</t>
  </si>
  <si>
    <t>M3 Lock Nuts</t>
  </si>
  <si>
    <t>Fasten retraction mounts to threaded rod on linear actuator</t>
  </si>
  <si>
    <t>A8</t>
  </si>
  <si>
    <t>M3 Screw and Hex Nuts</t>
  </si>
  <si>
    <t>To fasten linear actuator to faceplate</t>
  </si>
  <si>
    <t>N/A</t>
  </si>
  <si>
    <t>A9</t>
  </si>
  <si>
    <t>Nordson Syringe Adapter</t>
  </si>
  <si>
    <t>1 for each channel</t>
  </si>
  <si>
    <t>Nordson - will need to request a quote and determine correct sizing (refer to table figure in this excel sheet). Link: https://www.nordson.com/en/divisions/efd/products/accessories-kits-and-auxiliary-equipment/optimum-adapter-assemblies</t>
  </si>
  <si>
    <t>B1</t>
  </si>
  <si>
    <t>Pneumatic Switches</t>
  </si>
  <si>
    <r>
      <rPr/>
      <t xml:space="preserve">Festo - link: </t>
    </r>
    <r>
      <rPr>
        <color rgb="FF1155CC"/>
        <u/>
      </rPr>
      <t>https://www.coastpneumatics.com/product/196137/</t>
    </r>
  </si>
  <si>
    <t>B2</t>
  </si>
  <si>
    <t>Manual Regulators</t>
  </si>
  <si>
    <r>
      <rPr>
        <rFont val="Arial"/>
        <color theme="1"/>
      </rPr>
      <t>Not available at Pneumadyne. Source elsewhere.</t>
    </r>
    <r>
      <rPr>
        <rFont val="Arial"/>
        <color rgb="FF4A86E8"/>
      </rPr>
      <t xml:space="preserve"> </t>
    </r>
  </si>
  <si>
    <t>B3</t>
  </si>
  <si>
    <t>Pressure Gauges</t>
  </si>
  <si>
    <r>
      <rPr/>
      <t>Pneumadyne PMG-160 (</t>
    </r>
    <r>
      <rPr>
        <color rgb="FF4A86E8"/>
      </rPr>
      <t>Plan to get digital display</t>
    </r>
    <r>
      <rPr/>
      <t xml:space="preserve">) link: </t>
    </r>
    <r>
      <rPr>
        <color rgb="FF1155CC"/>
        <u/>
      </rPr>
      <t>https://www.pneumadyne.com/pneumatic-valve-accessories-micro-pressure-gauges-2?cPath=2_64_72&amp;ref_id=1165#1-YToxOntzOjQ6ImdyaWQiO2k6MDt9</t>
    </r>
  </si>
  <si>
    <t>B4</t>
  </si>
  <si>
    <t>5/32'' OD Tubing</t>
  </si>
  <si>
    <t>C1</t>
  </si>
  <si>
    <t>Mechanical Relay Board</t>
  </si>
  <si>
    <r>
      <rPr/>
      <t xml:space="preserve">Amazon - link: </t>
    </r>
    <r>
      <rPr>
        <color rgb="FF1155CC"/>
        <u/>
      </rPr>
      <t>https://www.amazon.com/SainSmart-101-70-101-4-Channel-Relay-Module/dp/B0057OC5O8</t>
    </r>
  </si>
  <si>
    <t>C2</t>
  </si>
  <si>
    <t>Motor Control Board</t>
  </si>
  <si>
    <r>
      <rPr/>
      <t xml:space="preserve">Pololu - link: </t>
    </r>
    <r>
      <rPr>
        <color rgb="FF1155CC"/>
        <u/>
      </rPr>
      <t>https://www.pololu.com/product/1112</t>
    </r>
  </si>
  <si>
    <t>C3</t>
  </si>
  <si>
    <t>Jumper Cables</t>
  </si>
  <si>
    <t xml:space="preserve">C4 </t>
  </si>
  <si>
    <t>DC Motors 500 rpm</t>
  </si>
  <si>
    <t>https://www.pololu.com/product/3203/specs</t>
  </si>
  <si>
    <t>DC Motors 1000 rpm</t>
  </si>
  <si>
    <t>https://www.pololu.com/product/3202/specs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</si>
</sst>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u/>
      <color rgb="FF0000FF"/>
    </font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0</xdr:row>
      <xdr:rowOff>0</xdr:rowOff>
    </xdr:from>
    <xdr:ext cx="5248275" cy="1962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kcx7Vp1uV9MdUEIYcI8VjP--WVc1Mkm/view" TargetMode="External"/><Relationship Id="rId2" Type="http://schemas.openxmlformats.org/officeDocument/2006/relationships/hyperlink" Target="https://www.coastpneumatics.com/product/4830909/" TargetMode="External"/><Relationship Id="rId3" Type="http://schemas.openxmlformats.org/officeDocument/2006/relationships/hyperlink" Target="https://www.coastpneumatics.com/product/153304/" TargetMode="External"/><Relationship Id="rId4" Type="http://schemas.openxmlformats.org/officeDocument/2006/relationships/hyperlink" Target="https://www.coastpneumatics.com/product/196137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pololu.com/product/3202/specs" TargetMode="External"/><Relationship Id="rId5" Type="http://schemas.openxmlformats.org/officeDocument/2006/relationships/hyperlink" Target="https://www.pneumadyne.com/pneumatic-valve-accessories-micro-pressure-gauges-2?cPath=2_64_72&amp;ref_id=1165" TargetMode="External"/><Relationship Id="rId6" Type="http://schemas.openxmlformats.org/officeDocument/2006/relationships/hyperlink" Target="https://www.amazon.com/SainSmart-101-70-101-4-Channel-Relay-Module/dp/B0057OC5O8" TargetMode="External"/><Relationship Id="rId7" Type="http://schemas.openxmlformats.org/officeDocument/2006/relationships/hyperlink" Target="https://www.pololu.com/product/1112" TargetMode="External"/><Relationship Id="rId8" Type="http://schemas.openxmlformats.org/officeDocument/2006/relationships/hyperlink" Target="https://www.pololu.com/product/3203/spe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5" max="5" width="37.38"/>
    <col customWidth="1" min="6" max="6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>
        <v>1.0</v>
      </c>
      <c r="E2" s="4" t="s">
        <v>12</v>
      </c>
      <c r="F2" s="3" t="s">
        <v>13</v>
      </c>
      <c r="H2" s="5">
        <f t="shared" ref="H2:H3" si="1">D2*G2</f>
        <v>0</v>
      </c>
    </row>
    <row r="3">
      <c r="A3" s="3" t="s">
        <v>14</v>
      </c>
      <c r="B3" s="3" t="s">
        <v>15</v>
      </c>
      <c r="C3" s="6"/>
      <c r="D3" s="3">
        <v>8.0</v>
      </c>
      <c r="E3" s="3" t="s">
        <v>16</v>
      </c>
      <c r="F3" s="3" t="s">
        <v>17</v>
      </c>
      <c r="H3" s="5">
        <f t="shared" si="1"/>
        <v>0</v>
      </c>
      <c r="I3" s="2" t="s">
        <v>18</v>
      </c>
    </row>
    <row r="4">
      <c r="A4" s="3" t="s">
        <v>19</v>
      </c>
      <c r="B4" s="3" t="s">
        <v>20</v>
      </c>
      <c r="C4" s="6"/>
      <c r="D4" s="3" t="s">
        <v>21</v>
      </c>
      <c r="E4" s="3" t="s">
        <v>22</v>
      </c>
      <c r="F4" s="3" t="s">
        <v>13</v>
      </c>
      <c r="G4" s="2">
        <v>0.0</v>
      </c>
      <c r="H4" s="2">
        <v>0.0</v>
      </c>
    </row>
    <row r="5">
      <c r="A5" s="3" t="s">
        <v>23</v>
      </c>
      <c r="B5" s="3" t="s">
        <v>24</v>
      </c>
      <c r="C5" s="6"/>
      <c r="D5" s="3">
        <v>3.0</v>
      </c>
      <c r="E5" s="4" t="s">
        <v>25</v>
      </c>
      <c r="F5" s="3" t="s">
        <v>17</v>
      </c>
      <c r="G5" s="2">
        <v>65.02</v>
      </c>
      <c r="H5" s="5">
        <f t="shared" ref="H5:H9" si="2">D5*G5</f>
        <v>195.06</v>
      </c>
      <c r="I5" s="2" t="s">
        <v>18</v>
      </c>
    </row>
    <row r="6">
      <c r="A6" s="3" t="s">
        <v>23</v>
      </c>
      <c r="B6" s="3" t="s">
        <v>26</v>
      </c>
      <c r="C6" s="6"/>
      <c r="D6" s="3">
        <v>1.0</v>
      </c>
      <c r="E6" s="4" t="s">
        <v>27</v>
      </c>
      <c r="F6" s="3" t="s">
        <v>28</v>
      </c>
      <c r="G6" s="2">
        <v>22.0</v>
      </c>
      <c r="H6" s="5">
        <f t="shared" si="2"/>
        <v>22</v>
      </c>
      <c r="I6" s="2" t="s">
        <v>18</v>
      </c>
    </row>
    <row r="7">
      <c r="A7" s="3" t="s">
        <v>29</v>
      </c>
      <c r="B7" s="3" t="s">
        <v>30</v>
      </c>
      <c r="C7" s="3" t="s">
        <v>31</v>
      </c>
      <c r="D7" s="6"/>
      <c r="E7" s="3" t="s">
        <v>16</v>
      </c>
      <c r="F7" s="3" t="s">
        <v>32</v>
      </c>
      <c r="H7" s="5">
        <f t="shared" si="2"/>
        <v>0</v>
      </c>
    </row>
    <row r="8">
      <c r="A8" s="3" t="s">
        <v>33</v>
      </c>
      <c r="B8" s="3" t="s">
        <v>34</v>
      </c>
      <c r="C8" s="3" t="s">
        <v>35</v>
      </c>
      <c r="D8" s="6"/>
      <c r="E8" s="3" t="s">
        <v>16</v>
      </c>
      <c r="F8" s="3" t="s">
        <v>32</v>
      </c>
      <c r="H8" s="5">
        <f t="shared" si="2"/>
        <v>0</v>
      </c>
      <c r="I8" s="2" t="s">
        <v>18</v>
      </c>
    </row>
    <row r="9">
      <c r="A9" s="3" t="s">
        <v>36</v>
      </c>
      <c r="B9" s="3" t="s">
        <v>37</v>
      </c>
      <c r="C9" s="3" t="s">
        <v>38</v>
      </c>
      <c r="D9" s="6"/>
      <c r="E9" s="3" t="s">
        <v>16</v>
      </c>
      <c r="F9" s="3" t="s">
        <v>39</v>
      </c>
      <c r="H9" s="5">
        <f t="shared" si="2"/>
        <v>0</v>
      </c>
    </row>
    <row r="10">
      <c r="A10" s="3" t="s">
        <v>40</v>
      </c>
      <c r="B10" s="3" t="s">
        <v>41</v>
      </c>
      <c r="C10" s="6"/>
      <c r="D10" s="3" t="s">
        <v>42</v>
      </c>
      <c r="E10" s="3" t="s">
        <v>43</v>
      </c>
      <c r="F10" s="3" t="s">
        <v>17</v>
      </c>
      <c r="H10" s="2">
        <v>0.0</v>
      </c>
    </row>
    <row r="11">
      <c r="A11" s="6"/>
      <c r="B11" s="6"/>
      <c r="C11" s="6"/>
      <c r="D11" s="6"/>
      <c r="E11" s="6"/>
      <c r="F11" s="6"/>
      <c r="G11" s="2">
        <v>0.0</v>
      </c>
      <c r="H11" s="5">
        <f t="shared" ref="H11:H21" si="3">D11*G11</f>
        <v>0</v>
      </c>
    </row>
    <row r="12">
      <c r="A12" s="3" t="s">
        <v>44</v>
      </c>
      <c r="B12" s="3" t="s">
        <v>45</v>
      </c>
      <c r="C12" s="6"/>
      <c r="D12" s="3">
        <v>3.0</v>
      </c>
      <c r="E12" s="4" t="s">
        <v>46</v>
      </c>
      <c r="F12" s="3" t="s">
        <v>17</v>
      </c>
      <c r="G12" s="2">
        <v>136.59</v>
      </c>
      <c r="H12" s="5">
        <f t="shared" si="3"/>
        <v>409.77</v>
      </c>
      <c r="I12" s="2" t="s">
        <v>18</v>
      </c>
    </row>
    <row r="13">
      <c r="A13" s="3" t="s">
        <v>47</v>
      </c>
      <c r="B13" s="3" t="s">
        <v>48</v>
      </c>
      <c r="C13" s="6"/>
      <c r="D13" s="3">
        <v>3.0</v>
      </c>
      <c r="E13" s="3" t="s">
        <v>49</v>
      </c>
      <c r="F13" s="3" t="s">
        <v>17</v>
      </c>
      <c r="H13" s="5">
        <f t="shared" si="3"/>
        <v>0</v>
      </c>
    </row>
    <row r="14">
      <c r="A14" s="3" t="s">
        <v>50</v>
      </c>
      <c r="B14" s="3" t="s">
        <v>51</v>
      </c>
      <c r="C14" s="6"/>
      <c r="D14" s="3">
        <v>3.0</v>
      </c>
      <c r="E14" s="4" t="s">
        <v>52</v>
      </c>
      <c r="F14" s="3" t="s">
        <v>17</v>
      </c>
      <c r="H14" s="5">
        <f t="shared" si="3"/>
        <v>0</v>
      </c>
      <c r="I14" s="2" t="s">
        <v>18</v>
      </c>
    </row>
    <row r="15">
      <c r="A15" s="3" t="s">
        <v>53</v>
      </c>
      <c r="B15" s="3" t="s">
        <v>54</v>
      </c>
      <c r="C15" s="6"/>
      <c r="D15" s="6"/>
      <c r="E15" s="3" t="s">
        <v>16</v>
      </c>
      <c r="F15" s="3" t="s">
        <v>39</v>
      </c>
      <c r="H15" s="5">
        <f t="shared" si="3"/>
        <v>0</v>
      </c>
      <c r="I15" s="2" t="s">
        <v>18</v>
      </c>
    </row>
    <row r="16">
      <c r="A16" s="6"/>
      <c r="B16" s="6"/>
      <c r="C16" s="6"/>
      <c r="D16" s="6"/>
      <c r="E16" s="6"/>
      <c r="F16" s="6"/>
      <c r="H16" s="5">
        <f t="shared" si="3"/>
        <v>0</v>
      </c>
    </row>
    <row r="17">
      <c r="A17" s="3" t="s">
        <v>55</v>
      </c>
      <c r="B17" s="3" t="s">
        <v>56</v>
      </c>
      <c r="C17" s="6"/>
      <c r="D17" s="3">
        <v>1.0</v>
      </c>
      <c r="E17" s="4" t="s">
        <v>57</v>
      </c>
      <c r="F17" s="3" t="s">
        <v>17</v>
      </c>
      <c r="G17" s="2">
        <v>14.96</v>
      </c>
      <c r="H17" s="5">
        <f t="shared" si="3"/>
        <v>14.96</v>
      </c>
      <c r="I17" s="2" t="s">
        <v>18</v>
      </c>
    </row>
    <row r="18">
      <c r="A18" s="3" t="s">
        <v>58</v>
      </c>
      <c r="B18" s="3" t="s">
        <v>59</v>
      </c>
      <c r="C18" s="6"/>
      <c r="D18" s="3">
        <v>1.0</v>
      </c>
      <c r="E18" s="4" t="s">
        <v>60</v>
      </c>
      <c r="F18" s="3" t="s">
        <v>17</v>
      </c>
      <c r="G18" s="2">
        <v>119.95</v>
      </c>
      <c r="H18" s="5">
        <f t="shared" si="3"/>
        <v>119.95</v>
      </c>
    </row>
    <row r="19">
      <c r="A19" s="3" t="s">
        <v>61</v>
      </c>
      <c r="B19" s="3" t="s">
        <v>62</v>
      </c>
      <c r="C19" s="6"/>
      <c r="D19" s="6"/>
      <c r="E19" s="3" t="s">
        <v>16</v>
      </c>
      <c r="F19" s="3" t="s">
        <v>39</v>
      </c>
      <c r="H19" s="5">
        <f t="shared" si="3"/>
        <v>0</v>
      </c>
    </row>
    <row r="20">
      <c r="A20" s="2" t="s">
        <v>63</v>
      </c>
      <c r="B20" s="2" t="s">
        <v>64</v>
      </c>
      <c r="D20" s="2">
        <v>1.0</v>
      </c>
      <c r="E20" s="7" t="s">
        <v>65</v>
      </c>
      <c r="G20" s="2">
        <v>21.95</v>
      </c>
      <c r="H20" s="5">
        <f t="shared" si="3"/>
        <v>21.95</v>
      </c>
    </row>
    <row r="21">
      <c r="A21" s="2" t="s">
        <v>63</v>
      </c>
      <c r="B21" s="2" t="s">
        <v>66</v>
      </c>
      <c r="D21" s="2">
        <v>1.0</v>
      </c>
      <c r="E21" s="7" t="s">
        <v>67</v>
      </c>
      <c r="G21" s="2">
        <v>21.95</v>
      </c>
      <c r="H21" s="5">
        <f t="shared" si="3"/>
        <v>21.95</v>
      </c>
    </row>
    <row r="22">
      <c r="H22" s="5">
        <f>sum(H2:H21)</f>
        <v>805.64</v>
      </c>
    </row>
  </sheetData>
  <hyperlinks>
    <hyperlink r:id="rId1" ref="E2"/>
    <hyperlink r:id="rId2" ref="E5"/>
    <hyperlink r:id="rId3" ref="E6"/>
    <hyperlink r:id="rId4" ref="E12"/>
    <hyperlink r:id="rId5" location="1-YToxOntzOjQ6ImdyaWQiO2k6MDt9" ref="E14"/>
    <hyperlink r:id="rId6" ref="E17"/>
    <hyperlink r:id="rId7" ref="E18"/>
    <hyperlink r:id="rId8" ref="E20"/>
    <hyperlink r:id="rId9" ref="E21"/>
  </hyperlinks>
  <drawing r:id="rId10"/>
</worksheet>
</file>